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lis\Documents\Personal\BDL\Updated_Database\Reference\"/>
    </mc:Choice>
  </mc:AlternateContent>
  <bookViews>
    <workbookView xWindow="0" yWindow="0" windowWidth="23040" windowHeight="8832"/>
  </bookViews>
  <sheets>
    <sheet name="playoff matchups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B15" i="1"/>
  <c r="B20" i="1" s="1"/>
  <c r="B25" i="1" s="1"/>
  <c r="B30" i="1" s="1"/>
  <c r="B35" i="1" s="1"/>
  <c r="A15" i="1"/>
  <c r="A20" i="1" s="1"/>
  <c r="A25" i="1" s="1"/>
  <c r="A30" i="1" s="1"/>
  <c r="A35" i="1" s="1"/>
  <c r="F14" i="1"/>
  <c r="E14" i="1"/>
  <c r="F13" i="1"/>
  <c r="E13" i="1"/>
  <c r="B13" i="1"/>
  <c r="B18" i="1" s="1"/>
  <c r="B23" i="1" s="1"/>
  <c r="B28" i="1" s="1"/>
  <c r="B33" i="1" s="1"/>
  <c r="A13" i="1"/>
  <c r="A18" i="1" s="1"/>
  <c r="A23" i="1" s="1"/>
  <c r="A28" i="1" s="1"/>
  <c r="A33" i="1" s="1"/>
  <c r="F12" i="1"/>
  <c r="E12" i="1"/>
  <c r="F11" i="1"/>
  <c r="E11" i="1"/>
  <c r="B11" i="1"/>
  <c r="B16" i="1" s="1"/>
  <c r="B21" i="1" s="1"/>
  <c r="B26" i="1" s="1"/>
  <c r="B31" i="1" s="1"/>
  <c r="B36" i="1" s="1"/>
  <c r="A11" i="1"/>
  <c r="A16" i="1" s="1"/>
  <c r="A21" i="1" s="1"/>
  <c r="A26" i="1" s="1"/>
  <c r="A31" i="1" s="1"/>
  <c r="A36" i="1" s="1"/>
  <c r="F10" i="1"/>
  <c r="E10" i="1"/>
  <c r="B10" i="1"/>
  <c r="A10" i="1"/>
  <c r="F9" i="1"/>
  <c r="E9" i="1"/>
  <c r="B9" i="1"/>
  <c r="B14" i="1" s="1"/>
  <c r="B19" i="1" s="1"/>
  <c r="B24" i="1" s="1"/>
  <c r="B29" i="1" s="1"/>
  <c r="B34" i="1" s="1"/>
  <c r="A9" i="1"/>
  <c r="A14" i="1" s="1"/>
  <c r="A19" i="1" s="1"/>
  <c r="A24" i="1" s="1"/>
  <c r="A29" i="1" s="1"/>
  <c r="A34" i="1" s="1"/>
  <c r="F8" i="1"/>
  <c r="E8" i="1"/>
  <c r="B8" i="1"/>
  <c r="A8" i="1"/>
  <c r="F7" i="1"/>
  <c r="E7" i="1"/>
  <c r="B7" i="1"/>
  <c r="B12" i="1" s="1"/>
  <c r="B17" i="1" s="1"/>
  <c r="B22" i="1" s="1"/>
  <c r="B27" i="1" s="1"/>
  <c r="B32" i="1" s="1"/>
  <c r="A7" i="1"/>
  <c r="A12" i="1" s="1"/>
  <c r="A17" i="1" s="1"/>
  <c r="A22" i="1" s="1"/>
  <c r="A27" i="1" s="1"/>
  <c r="A32" i="1" s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<sst xmlns="http://schemas.openxmlformats.org/spreadsheetml/2006/main" count="76" uniqueCount="17">
  <si>
    <t>Year</t>
  </si>
  <si>
    <t>Week</t>
  </si>
  <si>
    <t>Home</t>
  </si>
  <si>
    <t>Away</t>
  </si>
  <si>
    <t>Home_ID</t>
  </si>
  <si>
    <t>Away_ID</t>
  </si>
  <si>
    <t>Team Hoey</t>
  </si>
  <si>
    <t>Hot Sub Hawkes</t>
  </si>
  <si>
    <t>Team Cary What</t>
  </si>
  <si>
    <t>One Man Wolfpack</t>
  </si>
  <si>
    <t>Baby Steps</t>
  </si>
  <si>
    <t>One Dick Mike</t>
  </si>
  <si>
    <t>McNutty</t>
  </si>
  <si>
    <t>Hit Stick Hero</t>
  </si>
  <si>
    <t>OhHeBack</t>
  </si>
  <si>
    <t>Mcnutty</t>
  </si>
  <si>
    <t>Team Ryan Burkes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</si>
</sst>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willis/Documents/Personal/BDL/Updated_Database/URL_Refere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rl"/>
      <sheetName val="xml_map"/>
      <sheetName val="4for4_Map"/>
      <sheetName val="DLF_Map"/>
      <sheetName val="Franchises"/>
      <sheetName val="playoff matchups"/>
      <sheetName val="RFA_Results"/>
      <sheetName val="Franchise_tag_Reference"/>
    </sheetNames>
    <sheetDataSet>
      <sheetData sheetId="0"/>
      <sheetData sheetId="1"/>
      <sheetData sheetId="2"/>
      <sheetData sheetId="3"/>
      <sheetData sheetId="4">
        <row r="2">
          <cell r="B2" t="str">
            <v>One Dick Mike</v>
          </cell>
          <cell r="C2" t="str">
            <v>Mike Palmer</v>
          </cell>
          <cell r="D2" t="str">
            <v>mapalmer@gmail.com</v>
          </cell>
          <cell r="E2">
            <v>1</v>
          </cell>
        </row>
        <row r="3">
          <cell r="B3" t="str">
            <v>Baby Steps</v>
          </cell>
          <cell r="C3" t="str">
            <v>Nate Scheffey</v>
          </cell>
          <cell r="D3" t="str">
            <v>nscheffey@gmail.com</v>
          </cell>
          <cell r="E3">
            <v>2</v>
          </cell>
        </row>
        <row r="4">
          <cell r="B4" t="str">
            <v>OhHeBack</v>
          </cell>
          <cell r="C4" t="str">
            <v>Brett Godin</v>
          </cell>
          <cell r="D4" t="str">
            <v>brettgodin@gmail.com</v>
          </cell>
          <cell r="E4">
            <v>3</v>
          </cell>
        </row>
        <row r="5">
          <cell r="B5" t="str">
            <v>Hit Stick Hero</v>
          </cell>
          <cell r="C5" t="str">
            <v>Sameer Joshi</v>
          </cell>
          <cell r="D5" t="str">
            <v>sjoshi80@gmail.com</v>
          </cell>
          <cell r="E5">
            <v>4</v>
          </cell>
        </row>
        <row r="6">
          <cell r="B6" t="str">
            <v>Hot Sub Hawkes</v>
          </cell>
          <cell r="C6" t="str">
            <v>Chris Hawkes</v>
          </cell>
          <cell r="D6" t="str">
            <v>chrisphawkes@yahoo.com</v>
          </cell>
          <cell r="E6">
            <v>5</v>
          </cell>
        </row>
        <row r="7">
          <cell r="B7" t="str">
            <v>Team Hoey</v>
          </cell>
          <cell r="C7" t="str">
            <v>Joey Hope</v>
          </cell>
          <cell r="D7" t="str">
            <v>jehope2@gmail.com</v>
          </cell>
          <cell r="E7">
            <v>6</v>
          </cell>
        </row>
        <row r="8">
          <cell r="B8" t="str">
            <v>Team Ryan Burkes</v>
          </cell>
          <cell r="C8" t="str">
            <v>Ryan Burkes</v>
          </cell>
          <cell r="D8" t="str">
            <v>rmburkes@hotmail.com</v>
          </cell>
          <cell r="E8">
            <v>7</v>
          </cell>
        </row>
        <row r="9">
          <cell r="B9" t="str">
            <v>One Man Wolfpack</v>
          </cell>
          <cell r="C9" t="str">
            <v>Craig Willis</v>
          </cell>
          <cell r="D9" t="str">
            <v>cmwillis02@gmail.com</v>
          </cell>
          <cell r="E9">
            <v>8</v>
          </cell>
        </row>
        <row r="10">
          <cell r="B10" t="str">
            <v>McNutty</v>
          </cell>
          <cell r="C10" t="str">
            <v>Micah Deloache</v>
          </cell>
          <cell r="D10" t="str">
            <v>mkdeloac@gmail.com</v>
          </cell>
          <cell r="E10">
            <v>9</v>
          </cell>
        </row>
        <row r="11">
          <cell r="B11" t="str">
            <v>Team Cary What</v>
          </cell>
          <cell r="C11" t="str">
            <v>Eddie Sato</v>
          </cell>
          <cell r="D11" t="str">
            <v>esato0109@gmail.com</v>
          </cell>
          <cell r="E11">
            <v>10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3" workbookViewId="0">
      <selection activeCell="H43" sqref="H43"/>
    </sheetView>
  </sheetViews>
  <sheetFormatPr defaultRowHeight="14.4" x14ac:dyDescent="0.3"/>
  <cols>
    <col min="3" max="3" width="16.77734375" bestFit="1" customWidth="1"/>
    <col min="4" max="4" width="1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2009</v>
      </c>
      <c r="B2">
        <v>14</v>
      </c>
      <c r="C2" t="s">
        <v>6</v>
      </c>
      <c r="D2" t="s">
        <v>7</v>
      </c>
      <c r="E2">
        <f>VLOOKUP(C2,[1]Franchises!$B$2:$E$11,4,FALSE)</f>
        <v>6</v>
      </c>
      <c r="F2">
        <f>VLOOKUP(D2,[1]Franchises!$B$2:$E$11,4,FALSE)</f>
        <v>5</v>
      </c>
    </row>
    <row r="3" spans="1:6" x14ac:dyDescent="0.3">
      <c r="A3">
        <v>2009</v>
      </c>
      <c r="B3">
        <v>14</v>
      </c>
      <c r="C3" t="s">
        <v>8</v>
      </c>
      <c r="D3" t="s">
        <v>9</v>
      </c>
      <c r="E3">
        <f>VLOOKUP(C3,[1]Franchises!$B$2:$E$11,4,FALSE)</f>
        <v>10</v>
      </c>
      <c r="F3">
        <f>VLOOKUP(D3,[1]Franchises!$B$2:$E$11,4,FALSE)</f>
        <v>8</v>
      </c>
    </row>
    <row r="4" spans="1:6" x14ac:dyDescent="0.3">
      <c r="A4">
        <v>2009</v>
      </c>
      <c r="B4">
        <v>15</v>
      </c>
      <c r="C4" t="s">
        <v>10</v>
      </c>
      <c r="D4" t="s">
        <v>8</v>
      </c>
      <c r="E4">
        <f>VLOOKUP(C4,[1]Franchises!$B$2:$E$11,4,FALSE)</f>
        <v>2</v>
      </c>
      <c r="F4">
        <f>VLOOKUP(D4,[1]Franchises!$B$2:$E$11,4,FALSE)</f>
        <v>10</v>
      </c>
    </row>
    <row r="5" spans="1:6" x14ac:dyDescent="0.3">
      <c r="A5">
        <v>2009</v>
      </c>
      <c r="B5">
        <v>15</v>
      </c>
      <c r="C5" t="s">
        <v>11</v>
      </c>
      <c r="D5" t="s">
        <v>7</v>
      </c>
      <c r="E5">
        <f>VLOOKUP(C5,[1]Franchises!$B$2:$E$11,4,FALSE)</f>
        <v>1</v>
      </c>
      <c r="F5">
        <f>VLOOKUP(D5,[1]Franchises!$B$2:$E$11,4,FALSE)</f>
        <v>5</v>
      </c>
    </row>
    <row r="6" spans="1:6" x14ac:dyDescent="0.3">
      <c r="A6">
        <v>2009</v>
      </c>
      <c r="B6">
        <v>16</v>
      </c>
      <c r="C6" t="s">
        <v>8</v>
      </c>
      <c r="D6" t="s">
        <v>11</v>
      </c>
      <c r="E6">
        <f>VLOOKUP(C6,[1]Franchises!$B$2:$E$11,4,FALSE)</f>
        <v>10</v>
      </c>
      <c r="F6">
        <f>VLOOKUP(D6,[1]Franchises!$B$2:$E$11,4,FALSE)</f>
        <v>1</v>
      </c>
    </row>
    <row r="7" spans="1:6" x14ac:dyDescent="0.3">
      <c r="A7">
        <f>A2+1</f>
        <v>2010</v>
      </c>
      <c r="B7">
        <f>B2</f>
        <v>14</v>
      </c>
      <c r="C7" t="s">
        <v>12</v>
      </c>
      <c r="D7" t="s">
        <v>7</v>
      </c>
      <c r="E7">
        <f>VLOOKUP(C7,[1]Franchises!$B$2:$E$11,4,FALSE)</f>
        <v>9</v>
      </c>
      <c r="F7">
        <f>VLOOKUP(D7,[1]Franchises!$B$2:$E$11,4,FALSE)</f>
        <v>5</v>
      </c>
    </row>
    <row r="8" spans="1:6" x14ac:dyDescent="0.3">
      <c r="A8">
        <f t="shared" ref="A8:A36" si="0">A3+1</f>
        <v>2010</v>
      </c>
      <c r="B8">
        <f t="shared" ref="B8:B36" si="1">B3</f>
        <v>14</v>
      </c>
      <c r="C8" t="s">
        <v>13</v>
      </c>
      <c r="D8" t="s">
        <v>14</v>
      </c>
      <c r="E8">
        <f>VLOOKUP(C8,[1]Franchises!$B$2:$E$11,4,FALSE)</f>
        <v>4</v>
      </c>
      <c r="F8">
        <f>VLOOKUP(D8,[1]Franchises!$B$2:$E$11,4,FALSE)</f>
        <v>3</v>
      </c>
    </row>
    <row r="9" spans="1:6" x14ac:dyDescent="0.3">
      <c r="A9">
        <f t="shared" si="0"/>
        <v>2010</v>
      </c>
      <c r="B9">
        <f t="shared" si="1"/>
        <v>15</v>
      </c>
      <c r="C9" t="s">
        <v>11</v>
      </c>
      <c r="D9" t="s">
        <v>13</v>
      </c>
      <c r="E9">
        <f>VLOOKUP(C9,[1]Franchises!$B$2:$E$11,4,FALSE)</f>
        <v>1</v>
      </c>
      <c r="F9">
        <f>VLOOKUP(D9,[1]Franchises!$B$2:$E$11,4,FALSE)</f>
        <v>4</v>
      </c>
    </row>
    <row r="10" spans="1:6" x14ac:dyDescent="0.3">
      <c r="A10">
        <f t="shared" si="0"/>
        <v>2010</v>
      </c>
      <c r="B10">
        <f t="shared" si="1"/>
        <v>15</v>
      </c>
      <c r="C10" t="s">
        <v>10</v>
      </c>
      <c r="D10" t="s">
        <v>15</v>
      </c>
      <c r="E10">
        <f>VLOOKUP(C10,[1]Franchises!$B$2:$E$11,4,FALSE)</f>
        <v>2</v>
      </c>
      <c r="F10">
        <f>VLOOKUP(D10,[1]Franchises!$B$2:$E$11,4,FALSE)</f>
        <v>9</v>
      </c>
    </row>
    <row r="11" spans="1:6" x14ac:dyDescent="0.3">
      <c r="A11">
        <f t="shared" si="0"/>
        <v>2010</v>
      </c>
      <c r="B11">
        <f t="shared" si="1"/>
        <v>16</v>
      </c>
      <c r="C11" t="s">
        <v>12</v>
      </c>
      <c r="D11" t="s">
        <v>13</v>
      </c>
      <c r="E11">
        <f>VLOOKUP(C11,[1]Franchises!$B$2:$E$11,4,FALSE)</f>
        <v>9</v>
      </c>
      <c r="F11">
        <f>VLOOKUP(D11,[1]Franchises!$B$2:$E$11,4,FALSE)</f>
        <v>4</v>
      </c>
    </row>
    <row r="12" spans="1:6" x14ac:dyDescent="0.3">
      <c r="A12">
        <f t="shared" si="0"/>
        <v>2011</v>
      </c>
      <c r="B12">
        <f t="shared" si="1"/>
        <v>14</v>
      </c>
      <c r="C12" t="s">
        <v>11</v>
      </c>
      <c r="D12" t="s">
        <v>8</v>
      </c>
      <c r="E12">
        <f>VLOOKUP(C12,[1]Franchises!$B$2:$E$11,4,FALSE)</f>
        <v>1</v>
      </c>
      <c r="F12">
        <f>VLOOKUP(D12,[1]Franchises!$B$2:$E$11,4,FALSE)</f>
        <v>10</v>
      </c>
    </row>
    <row r="13" spans="1:6" x14ac:dyDescent="0.3">
      <c r="A13">
        <f t="shared" si="0"/>
        <v>2011</v>
      </c>
      <c r="B13">
        <f t="shared" si="1"/>
        <v>14</v>
      </c>
      <c r="C13" t="s">
        <v>16</v>
      </c>
      <c r="D13" t="s">
        <v>10</v>
      </c>
      <c r="E13">
        <f>VLOOKUP(C13,[1]Franchises!$B$2:$E$11,4,FALSE)</f>
        <v>7</v>
      </c>
      <c r="F13">
        <f>VLOOKUP(D13,[1]Franchises!$B$2:$E$11,4,FALSE)</f>
        <v>2</v>
      </c>
    </row>
    <row r="14" spans="1:6" x14ac:dyDescent="0.3">
      <c r="A14">
        <f t="shared" si="0"/>
        <v>2011</v>
      </c>
      <c r="B14">
        <f t="shared" si="1"/>
        <v>15</v>
      </c>
      <c r="C14" t="s">
        <v>7</v>
      </c>
      <c r="D14" t="s">
        <v>10</v>
      </c>
      <c r="E14">
        <f>VLOOKUP(C14,[1]Franchises!$B$2:$E$11,4,FALSE)</f>
        <v>5</v>
      </c>
      <c r="F14">
        <f>VLOOKUP(D14,[1]Franchises!$B$2:$E$11,4,FALSE)</f>
        <v>2</v>
      </c>
    </row>
    <row r="15" spans="1:6" x14ac:dyDescent="0.3">
      <c r="A15">
        <f t="shared" si="0"/>
        <v>2011</v>
      </c>
      <c r="B15">
        <f t="shared" si="1"/>
        <v>15</v>
      </c>
      <c r="C15" t="s">
        <v>14</v>
      </c>
      <c r="D15" t="s">
        <v>11</v>
      </c>
      <c r="E15">
        <f>VLOOKUP(C15,[1]Franchises!$B$2:$E$11,4,FALSE)</f>
        <v>3</v>
      </c>
      <c r="F15">
        <f>VLOOKUP(D15,[1]Franchises!$B$2:$E$11,4,FALSE)</f>
        <v>1</v>
      </c>
    </row>
    <row r="16" spans="1:6" x14ac:dyDescent="0.3">
      <c r="A16">
        <f t="shared" si="0"/>
        <v>2011</v>
      </c>
      <c r="B16">
        <f t="shared" si="1"/>
        <v>16</v>
      </c>
      <c r="C16" t="s">
        <v>14</v>
      </c>
      <c r="D16" t="s">
        <v>10</v>
      </c>
      <c r="E16">
        <f>VLOOKUP(C16,[1]Franchises!$B$2:$E$11,4,FALSE)</f>
        <v>3</v>
      </c>
      <c r="F16">
        <f>VLOOKUP(D16,[1]Franchises!$B$2:$E$11,4,FALSE)</f>
        <v>2</v>
      </c>
    </row>
    <row r="17" spans="1:6" x14ac:dyDescent="0.3">
      <c r="A17">
        <f t="shared" si="0"/>
        <v>2012</v>
      </c>
      <c r="B17">
        <f t="shared" si="1"/>
        <v>14</v>
      </c>
      <c r="C17" t="s">
        <v>11</v>
      </c>
      <c r="D17" t="s">
        <v>16</v>
      </c>
      <c r="E17">
        <f>VLOOKUP(C17,[1]Franchises!$B$2:$E$11,4,FALSE)</f>
        <v>1</v>
      </c>
      <c r="F17">
        <f>VLOOKUP(D17,[1]Franchises!$B$2:$E$11,4,FALSE)</f>
        <v>7</v>
      </c>
    </row>
    <row r="18" spans="1:6" x14ac:dyDescent="0.3">
      <c r="A18">
        <f t="shared" si="0"/>
        <v>2012</v>
      </c>
      <c r="B18">
        <f t="shared" si="1"/>
        <v>14</v>
      </c>
      <c r="C18" t="s">
        <v>13</v>
      </c>
      <c r="D18" t="s">
        <v>15</v>
      </c>
      <c r="E18">
        <f>VLOOKUP(C18,[1]Franchises!$B$2:$E$11,4,FALSE)</f>
        <v>4</v>
      </c>
      <c r="F18">
        <f>VLOOKUP(D18,[1]Franchises!$B$2:$E$11,4,FALSE)</f>
        <v>9</v>
      </c>
    </row>
    <row r="19" spans="1:6" x14ac:dyDescent="0.3">
      <c r="A19">
        <f t="shared" si="0"/>
        <v>2012</v>
      </c>
      <c r="B19">
        <f t="shared" si="1"/>
        <v>15</v>
      </c>
      <c r="C19" t="s">
        <v>6</v>
      </c>
      <c r="D19" t="s">
        <v>15</v>
      </c>
      <c r="E19">
        <f>VLOOKUP(C19,[1]Franchises!$B$2:$E$11,4,FALSE)</f>
        <v>6</v>
      </c>
      <c r="F19">
        <f>VLOOKUP(D19,[1]Franchises!$B$2:$E$11,4,FALSE)</f>
        <v>9</v>
      </c>
    </row>
    <row r="20" spans="1:6" x14ac:dyDescent="0.3">
      <c r="A20">
        <f t="shared" si="0"/>
        <v>2012</v>
      </c>
      <c r="B20">
        <f t="shared" si="1"/>
        <v>15</v>
      </c>
      <c r="C20" t="s">
        <v>10</v>
      </c>
      <c r="D20" t="s">
        <v>11</v>
      </c>
      <c r="E20">
        <f>VLOOKUP(C20,[1]Franchises!$B$2:$E$11,4,FALSE)</f>
        <v>2</v>
      </c>
      <c r="F20">
        <f>VLOOKUP(D20,[1]Franchises!$B$2:$E$11,4,FALSE)</f>
        <v>1</v>
      </c>
    </row>
    <row r="21" spans="1:6" x14ac:dyDescent="0.3">
      <c r="A21">
        <f t="shared" si="0"/>
        <v>2012</v>
      </c>
      <c r="B21">
        <f t="shared" si="1"/>
        <v>16</v>
      </c>
      <c r="C21" t="s">
        <v>11</v>
      </c>
      <c r="D21" t="s">
        <v>15</v>
      </c>
      <c r="E21">
        <f>VLOOKUP(C21,[1]Franchises!$B$2:$E$11,4,FALSE)</f>
        <v>1</v>
      </c>
      <c r="F21">
        <f>VLOOKUP(D21,[1]Franchises!$B$2:$E$11,4,FALSE)</f>
        <v>9</v>
      </c>
    </row>
    <row r="22" spans="1:6" x14ac:dyDescent="0.3">
      <c r="A22">
        <f t="shared" si="0"/>
        <v>2013</v>
      </c>
      <c r="B22">
        <f t="shared" si="1"/>
        <v>14</v>
      </c>
      <c r="C22" t="s">
        <v>10</v>
      </c>
      <c r="D22" t="s">
        <v>8</v>
      </c>
      <c r="E22">
        <f>VLOOKUP(C22,[1]Franchises!$B$2:$E$11,4,FALSE)</f>
        <v>2</v>
      </c>
      <c r="F22">
        <f>VLOOKUP(D22,[1]Franchises!$B$2:$E$11,4,FALSE)</f>
        <v>10</v>
      </c>
    </row>
    <row r="23" spans="1:6" x14ac:dyDescent="0.3">
      <c r="A23">
        <f t="shared" si="0"/>
        <v>2013</v>
      </c>
      <c r="B23">
        <f t="shared" si="1"/>
        <v>14</v>
      </c>
      <c r="C23" t="s">
        <v>12</v>
      </c>
      <c r="D23" t="s">
        <v>14</v>
      </c>
      <c r="E23">
        <f>VLOOKUP(C23,[1]Franchises!$B$2:$E$11,4,FALSE)</f>
        <v>9</v>
      </c>
      <c r="F23">
        <f>VLOOKUP(D23,[1]Franchises!$B$2:$E$11,4,FALSE)</f>
        <v>3</v>
      </c>
    </row>
    <row r="24" spans="1:6" x14ac:dyDescent="0.3">
      <c r="A24">
        <f>A19+1</f>
        <v>2013</v>
      </c>
      <c r="B24">
        <f>B19</f>
        <v>15</v>
      </c>
      <c r="C24" t="s">
        <v>13</v>
      </c>
      <c r="D24" t="s">
        <v>14</v>
      </c>
      <c r="E24">
        <f>VLOOKUP(C24,[1]Franchises!$B$2:$E$11,4,FALSE)</f>
        <v>4</v>
      </c>
      <c r="F24">
        <f>VLOOKUP(D24,[1]Franchises!$B$2:$E$11,4,FALSE)</f>
        <v>3</v>
      </c>
    </row>
    <row r="25" spans="1:6" x14ac:dyDescent="0.3">
      <c r="A25">
        <f t="shared" si="0"/>
        <v>2013</v>
      </c>
      <c r="B25">
        <f t="shared" si="1"/>
        <v>15</v>
      </c>
      <c r="C25" t="s">
        <v>16</v>
      </c>
      <c r="D25" t="s">
        <v>8</v>
      </c>
      <c r="E25">
        <f>VLOOKUP(C25,[1]Franchises!$B$2:$E$11,4,FALSE)</f>
        <v>7</v>
      </c>
      <c r="F25">
        <f>VLOOKUP(D25,[1]Franchises!$B$2:$E$11,4,FALSE)</f>
        <v>10</v>
      </c>
    </row>
    <row r="26" spans="1:6" x14ac:dyDescent="0.3">
      <c r="A26">
        <f t="shared" si="0"/>
        <v>2013</v>
      </c>
      <c r="B26">
        <f t="shared" si="1"/>
        <v>16</v>
      </c>
      <c r="C26" t="s">
        <v>13</v>
      </c>
      <c r="D26" t="s">
        <v>8</v>
      </c>
      <c r="E26">
        <f>VLOOKUP(C26,[1]Franchises!$B$2:$E$11,4,FALSE)</f>
        <v>4</v>
      </c>
      <c r="F26">
        <f>VLOOKUP(D26,[1]Franchises!$B$2:$E$11,4,FALSE)</f>
        <v>10</v>
      </c>
    </row>
    <row r="27" spans="1:6" x14ac:dyDescent="0.3">
      <c r="A27">
        <f t="shared" si="0"/>
        <v>2014</v>
      </c>
      <c r="B27">
        <f t="shared" si="1"/>
        <v>14</v>
      </c>
      <c r="C27" t="s">
        <v>13</v>
      </c>
      <c r="D27" t="s">
        <v>8</v>
      </c>
      <c r="E27">
        <f>VLOOKUP(C27,[1]Franchises!$B$2:$E$11,4,FALSE)</f>
        <v>4</v>
      </c>
      <c r="F27">
        <f>VLOOKUP(D27,[1]Franchises!$B$2:$E$11,4,FALSE)</f>
        <v>10</v>
      </c>
    </row>
    <row r="28" spans="1:6" x14ac:dyDescent="0.3">
      <c r="A28">
        <f t="shared" si="0"/>
        <v>2014</v>
      </c>
      <c r="B28">
        <f t="shared" si="1"/>
        <v>14</v>
      </c>
      <c r="C28" t="s">
        <v>7</v>
      </c>
      <c r="D28" t="s">
        <v>16</v>
      </c>
      <c r="E28">
        <f>VLOOKUP(C28,[1]Franchises!$B$2:$E$11,4,FALSE)</f>
        <v>5</v>
      </c>
      <c r="F28">
        <f>VLOOKUP(D28,[1]Franchises!$B$2:$E$11,4,FALSE)</f>
        <v>7</v>
      </c>
    </row>
    <row r="29" spans="1:6" x14ac:dyDescent="0.3">
      <c r="A29">
        <f t="shared" si="0"/>
        <v>2014</v>
      </c>
      <c r="B29">
        <f t="shared" si="1"/>
        <v>15</v>
      </c>
      <c r="C29" t="s">
        <v>6</v>
      </c>
      <c r="D29" t="s">
        <v>7</v>
      </c>
      <c r="E29">
        <f>VLOOKUP(C29,[1]Franchises!$B$2:$E$11,4,FALSE)</f>
        <v>6</v>
      </c>
      <c r="F29">
        <f>VLOOKUP(D29,[1]Franchises!$B$2:$E$11,4,FALSE)</f>
        <v>5</v>
      </c>
    </row>
    <row r="30" spans="1:6" x14ac:dyDescent="0.3">
      <c r="A30">
        <f t="shared" si="0"/>
        <v>2014</v>
      </c>
      <c r="B30">
        <f t="shared" si="1"/>
        <v>15</v>
      </c>
      <c r="C30" t="s">
        <v>14</v>
      </c>
      <c r="D30" t="s">
        <v>8</v>
      </c>
      <c r="E30">
        <f>VLOOKUP(C30,[1]Franchises!$B$2:$E$11,4,FALSE)</f>
        <v>3</v>
      </c>
      <c r="F30">
        <f>VLOOKUP(D30,[1]Franchises!$B$2:$E$11,4,FALSE)</f>
        <v>10</v>
      </c>
    </row>
    <row r="31" spans="1:6" x14ac:dyDescent="0.3">
      <c r="A31">
        <f t="shared" si="0"/>
        <v>2014</v>
      </c>
      <c r="B31">
        <f t="shared" si="1"/>
        <v>16</v>
      </c>
      <c r="C31" t="s">
        <v>6</v>
      </c>
      <c r="D31" t="s">
        <v>14</v>
      </c>
      <c r="E31">
        <f>VLOOKUP(C31,[1]Franchises!$B$2:$E$11,4,FALSE)</f>
        <v>6</v>
      </c>
      <c r="F31">
        <f>VLOOKUP(D31,[1]Franchises!$B$2:$E$11,4,FALSE)</f>
        <v>3</v>
      </c>
    </row>
    <row r="32" spans="1:6" x14ac:dyDescent="0.3">
      <c r="A32">
        <f t="shared" si="0"/>
        <v>2015</v>
      </c>
      <c r="B32">
        <f t="shared" si="1"/>
        <v>14</v>
      </c>
      <c r="C32" t="s">
        <v>6</v>
      </c>
      <c r="D32" t="s">
        <v>9</v>
      </c>
      <c r="E32">
        <f>VLOOKUP(C32,[1]Franchises!$B$2:$E$11,4,FALSE)</f>
        <v>6</v>
      </c>
      <c r="F32">
        <f>VLOOKUP(D32,[1]Franchises!$B$2:$E$11,4,FALSE)</f>
        <v>8</v>
      </c>
    </row>
    <row r="33" spans="1:6" x14ac:dyDescent="0.3">
      <c r="A33">
        <f t="shared" si="0"/>
        <v>2015</v>
      </c>
      <c r="B33">
        <f t="shared" si="1"/>
        <v>14</v>
      </c>
      <c r="C33" t="s">
        <v>7</v>
      </c>
      <c r="D33" t="s">
        <v>14</v>
      </c>
      <c r="E33">
        <f>VLOOKUP(C33,[1]Franchises!$B$2:$E$11,4,FALSE)</f>
        <v>5</v>
      </c>
      <c r="F33">
        <f>VLOOKUP(D33,[1]Franchises!$B$2:$E$11,4,FALSE)</f>
        <v>3</v>
      </c>
    </row>
    <row r="34" spans="1:6" x14ac:dyDescent="0.3">
      <c r="A34">
        <f>A29+1</f>
        <v>2015</v>
      </c>
      <c r="B34">
        <f>B29</f>
        <v>15</v>
      </c>
      <c r="C34" t="s">
        <v>16</v>
      </c>
      <c r="D34" t="s">
        <v>6</v>
      </c>
      <c r="E34">
        <f>VLOOKUP(C34,[1]Franchises!$B$2:$E$11,4,FALSE)</f>
        <v>7</v>
      </c>
      <c r="F34">
        <f>VLOOKUP(D34,[1]Franchises!$B$2:$E$11,4,FALSE)</f>
        <v>6</v>
      </c>
    </row>
    <row r="35" spans="1:6" x14ac:dyDescent="0.3">
      <c r="A35">
        <f t="shared" si="0"/>
        <v>2015</v>
      </c>
      <c r="B35">
        <f t="shared" si="1"/>
        <v>15</v>
      </c>
      <c r="C35" t="s">
        <v>13</v>
      </c>
      <c r="D35" t="s">
        <v>14</v>
      </c>
      <c r="E35">
        <f>VLOOKUP(C35,[1]Franchises!$B$2:$E$11,4,FALSE)</f>
        <v>4</v>
      </c>
      <c r="F35">
        <f>VLOOKUP(D35,[1]Franchises!$B$2:$E$11,4,FALSE)</f>
        <v>3</v>
      </c>
    </row>
    <row r="36" spans="1:6" x14ac:dyDescent="0.3">
      <c r="A36">
        <f t="shared" si="0"/>
        <v>2015</v>
      </c>
      <c r="B36">
        <f t="shared" si="1"/>
        <v>16</v>
      </c>
      <c r="C36" t="s">
        <v>16</v>
      </c>
      <c r="D36" t="s">
        <v>13</v>
      </c>
      <c r="E36">
        <f>VLOOKUP(C36,[1]Franchises!$B$2:$E$11,4,FALSE)</f>
        <v>7</v>
      </c>
      <c r="F36">
        <f>VLOOKUP(D36,[1]Franchises!$B$2:$E$11,4,FALSE)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playoff matchups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Willis</dc:creator>
  <cp:lastModifiedBy>Craig Willis</cp:lastModifiedBy>
  <dcterms:created xsi:type="dcterms:W3CDTF">2016-08-30T15:30:07Z</dcterms:created>
  <dcterms:modified xsi:type="dcterms:W3CDTF">2016-08-30T15:30:23Z</dcterms:modified>
</cp:coreProperties>
</file>